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onnées Brutes" sheetId="1" state="visible" r:id="rId2"/>
    <sheet name="Application" sheetId="2" state="visible" r:id="rId3"/>
    <sheet name="Estimation &amp; Résolution" sheetId="3" state="visible" r:id="rId4"/>
    <sheet name="Comparaison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<sst xmlns="http://schemas.openxmlformats.org/spreadsheetml/2006/main" count="20" uniqueCount="18">
  <si>
    <t xml:space="preserve">Années</t>
  </si>
  <si>
    <t xml:space="preserve">Photo_arg</t>
  </si>
  <si>
    <t xml:space="preserve">Photo_num</t>
  </si>
  <si>
    <t xml:space="preserve">Sales Data</t>
  </si>
  <si>
    <t xml:space="preserve">One year of data less</t>
  </si>
  <si>
    <t xml:space="preserve">One year of data more</t>
  </si>
  <si>
    <t xml:space="preserve">Ventes annuelles des appareils numériques</t>
  </si>
  <si>
    <t xml:space="preserve">Cumul des ventes passées</t>
  </si>
  <si>
    <t xml:space="preserve">Cumul des ventes passées au carré</t>
  </si>
  <si>
    <t xml:space="preserve">Prévision</t>
  </si>
  <si>
    <r>
      <rPr>
        <sz val="10"/>
        <rFont val="Arial"/>
        <family val="2"/>
        <charset val="1"/>
      </rPr>
      <t xml:space="preserve">β</t>
    </r>
    <r>
      <rPr>
        <vertAlign val="subscript"/>
        <sz val="10"/>
        <rFont val="Arial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</si>
  <si>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β</t>
    </r>
    <r>
      <rPr>
        <vertAlign val="subscript"/>
        <sz val="10"/>
        <rFont val="Arial"/>
        <family val="2"/>
        <charset val="1"/>
      </rPr>
      <t xml:space="preserve">1</t>
    </r>
  </si>
  <si>
    <r>
      <rPr>
        <sz val="10"/>
        <rFont val="Arial"/>
        <family val="2"/>
        <charset val="1"/>
      </rPr>
      <t xml:space="preserve">β</t>
    </r>
    <r>
      <rPr>
        <vertAlign val="subscript"/>
        <sz val="10"/>
        <rFont val="Arial"/>
        <family val="2"/>
        <charset val="1"/>
      </rPr>
      <t xml:space="preserve">0</t>
    </r>
  </si>
  <si>
    <t xml:space="preserve">M</t>
  </si>
  <si>
    <t xml:space="preserve">p</t>
  </si>
  <si>
    <t xml:space="preserve">q</t>
  </si>
  <si>
    <t xml:space="preserve">Prévisions à partir de 2009</t>
  </si>
  <si>
    <t xml:space="preserve">Valeur Réelles des ventes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</si>
</sst>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_-* #,##0.00_-;\-* #,##0.00_-;_-* \-??_-;_-@_-"/>
    <numFmt numFmtId="167" formatCode="0.00E+00"/>
    <numFmt numFmtId="168" formatCode="#,##0.00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vertAlign val="subscript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1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Ventes d'appareils Photographiques Argentiques et Numériques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'Données Brutes'!$B$1</c:f>
              <c:strCache>
                <c:ptCount val="1"/>
                <c:pt idx="0">
                  <c:v>Photo_arg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Brutes'!$A$2:$A$67</c:f>
              <c:strCache>
                <c:ptCount val="66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</c:strCache>
            </c:strRef>
          </c:cat>
          <c:val>
            <c:numRef>
              <c:f>'Données Brutes'!$B$2:$B$67</c:f>
              <c:numCache>
                <c:formatCode>General</c:formatCode>
                <c:ptCount val="66"/>
                <c:pt idx="0">
                  <c:v>258</c:v>
                </c:pt>
                <c:pt idx="1">
                  <c:v>376</c:v>
                </c:pt>
                <c:pt idx="2">
                  <c:v>586</c:v>
                </c:pt>
                <c:pt idx="3">
                  <c:v>787</c:v>
                </c:pt>
                <c:pt idx="4">
                  <c:v>949</c:v>
                </c:pt>
                <c:pt idx="5">
                  <c:v>1178</c:v>
                </c:pt>
                <c:pt idx="6">
                  <c:v>1292</c:v>
                </c:pt>
                <c:pt idx="7">
                  <c:v>1296</c:v>
                </c:pt>
                <c:pt idx="8">
                  <c:v>1725</c:v>
                </c:pt>
                <c:pt idx="9">
                  <c:v>1746</c:v>
                </c:pt>
                <c:pt idx="10">
                  <c:v>1997</c:v>
                </c:pt>
                <c:pt idx="11">
                  <c:v>2833</c:v>
                </c:pt>
                <c:pt idx="12">
                  <c:v>3702</c:v>
                </c:pt>
                <c:pt idx="13">
                  <c:v>4419</c:v>
                </c:pt>
                <c:pt idx="14">
                  <c:v>3637</c:v>
                </c:pt>
                <c:pt idx="15">
                  <c:v>3256</c:v>
                </c:pt>
                <c:pt idx="16">
                  <c:v>3650</c:v>
                </c:pt>
                <c:pt idx="17">
                  <c:v>4103</c:v>
                </c:pt>
                <c:pt idx="18">
                  <c:v>4825</c:v>
                </c:pt>
                <c:pt idx="19">
                  <c:v>5480</c:v>
                </c:pt>
                <c:pt idx="20">
                  <c:v>5143</c:v>
                </c:pt>
                <c:pt idx="21">
                  <c:v>5554</c:v>
                </c:pt>
                <c:pt idx="22">
                  <c:v>5749</c:v>
                </c:pt>
                <c:pt idx="23">
                  <c:v>5995</c:v>
                </c:pt>
                <c:pt idx="24">
                  <c:v>6808</c:v>
                </c:pt>
                <c:pt idx="25">
                  <c:v>7577</c:v>
                </c:pt>
                <c:pt idx="26">
                  <c:v>9166</c:v>
                </c:pt>
                <c:pt idx="27">
                  <c:v>11478</c:v>
                </c:pt>
                <c:pt idx="28">
                  <c:v>13391</c:v>
                </c:pt>
                <c:pt idx="29">
                  <c:v>15732</c:v>
                </c:pt>
                <c:pt idx="30">
                  <c:v>16730</c:v>
                </c:pt>
                <c:pt idx="31">
                  <c:v>15531</c:v>
                </c:pt>
                <c:pt idx="32">
                  <c:v>16358</c:v>
                </c:pt>
                <c:pt idx="33">
                  <c:v>18444</c:v>
                </c:pt>
                <c:pt idx="34">
                  <c:v>20246</c:v>
                </c:pt>
                <c:pt idx="35">
                  <c:v>21994</c:v>
                </c:pt>
                <c:pt idx="36">
                  <c:v>22671</c:v>
                </c:pt>
                <c:pt idx="37">
                  <c:v>22350</c:v>
                </c:pt>
                <c:pt idx="38">
                  <c:v>25675</c:v>
                </c:pt>
                <c:pt idx="39">
                  <c:v>28525</c:v>
                </c:pt>
                <c:pt idx="40">
                  <c:v>29764</c:v>
                </c:pt>
                <c:pt idx="41">
                  <c:v>27188</c:v>
                </c:pt>
                <c:pt idx="42">
                  <c:v>26765</c:v>
                </c:pt>
                <c:pt idx="43">
                  <c:v>26681</c:v>
                </c:pt>
                <c:pt idx="44">
                  <c:v>29571</c:v>
                </c:pt>
                <c:pt idx="45">
                  <c:v>31115</c:v>
                </c:pt>
                <c:pt idx="46">
                  <c:v>36671</c:v>
                </c:pt>
                <c:pt idx="47">
                  <c:v>36000</c:v>
                </c:pt>
                <c:pt idx="48">
                  <c:v>33879</c:v>
                </c:pt>
                <c:pt idx="49">
                  <c:v>31719</c:v>
                </c:pt>
                <c:pt idx="50">
                  <c:v>27599</c:v>
                </c:pt>
                <c:pt idx="51">
                  <c:v>23660</c:v>
                </c:pt>
                <c:pt idx="52">
                  <c:v>16296</c:v>
                </c:pt>
                <c:pt idx="53">
                  <c:v>10056</c:v>
                </c:pt>
                <c:pt idx="54">
                  <c:v>5380</c:v>
                </c:pt>
                <c:pt idx="55">
                  <c:v>1637</c:v>
                </c:pt>
                <c:pt idx="56">
                  <c:v>792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</c:ser>
        <c:ser>
          <c:idx val="1"/>
          <c:order val="1"/>
          <c:tx>
            <c:strRef>
              <c:f>'Données Brutes'!$C$1</c:f>
              <c:strCache>
                <c:ptCount val="1"/>
                <c:pt idx="0">
                  <c:v>Photo_num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'Données Brutes'!$A$2:$A$67</c:f>
              <c:strCache>
                <c:ptCount val="66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</c:strCache>
            </c:strRef>
          </c:cat>
          <c:val>
            <c:numRef>
              <c:f>'Données Brutes'!$C$2:$C$67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5088</c:v>
                </c:pt>
                <c:pt idx="49">
                  <c:v>10342</c:v>
                </c:pt>
                <c:pt idx="50">
                  <c:v>14753</c:v>
                </c:pt>
                <c:pt idx="51">
                  <c:v>24551</c:v>
                </c:pt>
                <c:pt idx="52">
                  <c:v>43408</c:v>
                </c:pt>
                <c:pt idx="53">
                  <c:v>59766</c:v>
                </c:pt>
                <c:pt idx="54">
                  <c:v>64766</c:v>
                </c:pt>
                <c:pt idx="55">
                  <c:v>78981</c:v>
                </c:pt>
                <c:pt idx="56">
                  <c:v>100367</c:v>
                </c:pt>
                <c:pt idx="57">
                  <c:v>119757</c:v>
                </c:pt>
                <c:pt idx="58">
                  <c:v>105864</c:v>
                </c:pt>
                <c:pt idx="59">
                  <c:v>121463</c:v>
                </c:pt>
                <c:pt idx="60">
                  <c:v>115524</c:v>
                </c:pt>
                <c:pt idx="61">
                  <c:v>98139</c:v>
                </c:pt>
                <c:pt idx="62">
                  <c:v>66284</c:v>
                </c:pt>
                <c:pt idx="63">
                  <c:v>43434</c:v>
                </c:pt>
                <c:pt idx="64">
                  <c:v>35395</c:v>
                </c:pt>
                <c:pt idx="65">
                  <c:v>2419</c:v>
                </c:pt>
              </c:numCache>
            </c:numRef>
          </c:val>
        </c:ser>
        <c:gapWidth val="100"/>
        <c:overlap val="0"/>
        <c:axId val="29419969"/>
        <c:axId val="7451485"/>
      </c:barChart>
      <c:catAx>
        <c:axId val="29419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Années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451485"/>
        <c:crosses val="autoZero"/>
        <c:auto val="1"/>
        <c:lblAlgn val="ctr"/>
        <c:lblOffset val="100"/>
        <c:noMultiLvlLbl val="0"/>
      </c:catAx>
      <c:valAx>
        <c:axId val="74514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Unités vendues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941996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lang="fr-FR" sz="1300" spc="-1" strike="noStrike">
                <a:solidFill>
                  <a:srgbClr val="000000"/>
                </a:solidFill>
                <a:latin typeface="Arial"/>
              </a:rPr>
              <a:t>Comparaison Prévisions - Valeurs réelles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Comparaison!$B$1:$B$1</c:f>
              <c:strCache>
                <c:ptCount val="1"/>
                <c:pt idx="0">
                  <c:v>Prévisions à partir de 2009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Comparaison!$A$2:$A$34</c:f>
              <c:strCache>
                <c:ptCount val="3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  <c:pt idx="31">
                  <c:v>2030</c:v>
                </c:pt>
                <c:pt idx="32">
                  <c:v>2031</c:v>
                </c:pt>
              </c:strCache>
            </c:strRef>
          </c:cat>
          <c:val>
            <c:numRef>
              <c:f>Comparaison!$B$2:$B$34</c:f>
              <c:numCache>
                <c:formatCode>General</c:formatCode>
                <c:ptCount val="33"/>
                <c:pt idx="0">
                  <c:v>5088</c:v>
                </c:pt>
                <c:pt idx="1">
                  <c:v>10342</c:v>
                </c:pt>
                <c:pt idx="2">
                  <c:v>14753</c:v>
                </c:pt>
                <c:pt idx="3">
                  <c:v>24551</c:v>
                </c:pt>
                <c:pt idx="4">
                  <c:v>43408</c:v>
                </c:pt>
                <c:pt idx="5">
                  <c:v>59766</c:v>
                </c:pt>
                <c:pt idx="6">
                  <c:v>64766</c:v>
                </c:pt>
                <c:pt idx="7">
                  <c:v>78981</c:v>
                </c:pt>
                <c:pt idx="8">
                  <c:v>100367</c:v>
                </c:pt>
                <c:pt idx="9">
                  <c:v>119757</c:v>
                </c:pt>
                <c:pt idx="10">
                  <c:v>122034.566130201</c:v>
                </c:pt>
                <c:pt idx="11">
                  <c:v>115436.80581608</c:v>
                </c:pt>
                <c:pt idx="12">
                  <c:v>97839.3375591893</c:v>
                </c:pt>
                <c:pt idx="13">
                  <c:v>74279.9394537974</c:v>
                </c:pt>
                <c:pt idx="14">
                  <c:v>51097.0964816312</c:v>
                </c:pt>
                <c:pt idx="15">
                  <c:v>32495.6482856071</c:v>
                </c:pt>
                <c:pt idx="16">
                  <c:v>19540.5647608028</c:v>
                </c:pt>
                <c:pt idx="17">
                  <c:v>11329.0628254459</c:v>
                </c:pt>
                <c:pt idx="18">
                  <c:v>6423.38705032348</c:v>
                </c:pt>
                <c:pt idx="19">
                  <c:v>3594.71204158245</c:v>
                </c:pt>
                <c:pt idx="20">
                  <c:v>1996.78535228531</c:v>
                </c:pt>
                <c:pt idx="21">
                  <c:v>1104.54603168834</c:v>
                </c:pt>
                <c:pt idx="22">
                  <c:v>609.573916577443</c:v>
                </c:pt>
                <c:pt idx="23">
                  <c:v>335.977160727081</c:v>
                </c:pt>
                <c:pt idx="24">
                  <c:v>185.04799009359</c:v>
                </c:pt>
                <c:pt idx="25">
                  <c:v>101.8799581434</c:v>
                </c:pt>
                <c:pt idx="26">
                  <c:v>56.0788848277298</c:v>
                </c:pt>
                <c:pt idx="27">
                  <c:v>30.8644360806793</c:v>
                </c:pt>
                <c:pt idx="28">
                  <c:v>16.9859132483252</c:v>
                </c:pt>
                <c:pt idx="29">
                  <c:v>9.34767949994421</c:v>
                </c:pt>
                <c:pt idx="30">
                  <c:v>5.1441084498656</c:v>
                </c:pt>
                <c:pt idx="31">
                  <c:v>2.83081625367049</c:v>
                </c:pt>
                <c:pt idx="32">
                  <c:v>1.55779619154055</c:v>
                </c:pt>
              </c:numCache>
            </c:numRef>
          </c:val>
        </c:ser>
        <c:ser>
          <c:idx val="1"/>
          <c:order val="1"/>
          <c:tx>
            <c:strRef>
              <c:f>Comparaison!$C$1:$C$1</c:f>
              <c:strCache>
                <c:ptCount val="1"/>
                <c:pt idx="0">
                  <c:v>Valeur Réelles des ventes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Comparaison!$A$2:$A$34</c:f>
              <c:strCache>
                <c:ptCount val="33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  <c:pt idx="27">
                  <c:v>2026</c:v>
                </c:pt>
                <c:pt idx="28">
                  <c:v>2027</c:v>
                </c:pt>
                <c:pt idx="29">
                  <c:v>2028</c:v>
                </c:pt>
                <c:pt idx="30">
                  <c:v>2029</c:v>
                </c:pt>
                <c:pt idx="31">
                  <c:v>2030</c:v>
                </c:pt>
                <c:pt idx="32">
                  <c:v>2031</c:v>
                </c:pt>
              </c:strCache>
            </c:strRef>
          </c:cat>
          <c:val>
            <c:numRef>
              <c:f>Comparaison!$C$2:$C$34</c:f>
              <c:numCache>
                <c:formatCode>General</c:formatCode>
                <c:ptCount val="33"/>
                <c:pt idx="0">
                  <c:v>5088</c:v>
                </c:pt>
                <c:pt idx="1">
                  <c:v>10342</c:v>
                </c:pt>
                <c:pt idx="2">
                  <c:v>14753</c:v>
                </c:pt>
                <c:pt idx="3">
                  <c:v>24551</c:v>
                </c:pt>
                <c:pt idx="4">
                  <c:v>43408</c:v>
                </c:pt>
                <c:pt idx="5">
                  <c:v>59766</c:v>
                </c:pt>
                <c:pt idx="6">
                  <c:v>64766</c:v>
                </c:pt>
                <c:pt idx="7">
                  <c:v>78981</c:v>
                </c:pt>
                <c:pt idx="8">
                  <c:v>100367</c:v>
                </c:pt>
                <c:pt idx="9">
                  <c:v>119757</c:v>
                </c:pt>
                <c:pt idx="10">
                  <c:v>105864</c:v>
                </c:pt>
                <c:pt idx="11">
                  <c:v>121463</c:v>
                </c:pt>
                <c:pt idx="12">
                  <c:v>115524</c:v>
                </c:pt>
                <c:pt idx="13">
                  <c:v>98139</c:v>
                </c:pt>
                <c:pt idx="14">
                  <c:v>66284</c:v>
                </c:pt>
                <c:pt idx="15">
                  <c:v>43434</c:v>
                </c:pt>
                <c:pt idx="16">
                  <c:v>35395</c:v>
                </c:pt>
                <c:pt idx="17">
                  <c:v>2419</c:v>
                </c:pt>
              </c:numCache>
            </c:numRef>
          </c:val>
        </c:ser>
        <c:gapWidth val="100"/>
        <c:overlap val="0"/>
        <c:axId val="42398173"/>
        <c:axId val="93588776"/>
      </c:barChart>
      <c:catAx>
        <c:axId val="42398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fr-FR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lang="fr-FR" sz="900" spc="-1" strike="noStrike">
                    <a:solidFill>
                      <a:srgbClr val="000000"/>
                    </a:solidFill>
                    <a:latin typeface="Arial"/>
                  </a:rPr>
                  <a:t>Années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3588776"/>
        <c:crosses val="autoZero"/>
        <c:auto val="1"/>
        <c:lblAlgn val="ctr"/>
        <c:lblOffset val="100"/>
        <c:noMultiLvlLbl val="0"/>
      </c:catAx>
      <c:valAx>
        <c:axId val="935887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lang="fr-FR" sz="900" spc="-1" strike="noStrike">
                    <a:solidFill>
                      <a:srgbClr val="000000"/>
                    </a:solidFill>
                    <a:latin typeface="Arial"/>
                  </a:rPr>
                  <a:t>Ventes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3981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37080</xdr:colOff>
      <xdr:row>0</xdr:row>
      <xdr:rowOff>36000</xdr:rowOff>
    </xdr:from>
    <xdr:to>
      <xdr:col>10</xdr:col>
      <xdr:colOff>103680</xdr:colOff>
      <xdr:row>20</xdr:row>
      <xdr:rowOff>20880</xdr:rowOff>
    </xdr:to>
    <xdr:graphicFrame>
      <xdr:nvGraphicFramePr>
        <xdr:cNvPr id="0" name="Graphique 1"/>
        <xdr:cNvGraphicFramePr/>
      </xdr:nvGraphicFramePr>
      <xdr:xfrm>
        <a:off x="2498400" y="36000"/>
        <a:ext cx="5809320" cy="322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37080</xdr:colOff>
      <xdr:row>0</xdr:row>
      <xdr:rowOff>36000</xdr:rowOff>
    </xdr:from>
    <xdr:to>
      <xdr:col>15</xdr:col>
      <xdr:colOff>132840</xdr:colOff>
      <xdr:row>32</xdr:row>
      <xdr:rowOff>89640</xdr:rowOff>
    </xdr:to>
    <xdr:graphicFrame>
      <xdr:nvGraphicFramePr>
        <xdr:cNvPr id="1" name="Graphique 1"/>
        <xdr:cNvGraphicFramePr/>
      </xdr:nvGraphicFramePr>
      <xdr:xfrm>
        <a:off x="2498400" y="36000"/>
        <a:ext cx="9940680" cy="555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27" colorId="64" zoomScale="130" zoomScaleNormal="130" zoomScalePageLayoutView="100" workbookViewId="0">
      <selection pane="topLeft" activeCell="A50" activeCellId="0" sqref="A50"/>
    </sheetView>
  </sheetViews>
  <sheetFormatPr defaultColWidth="11.64062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1" t="n">
        <v>1951</v>
      </c>
      <c r="B2" s="1" t="n">
        <v>258</v>
      </c>
      <c r="C2" s="1" t="n">
        <v>0</v>
      </c>
    </row>
    <row r="3" customFormat="false" ht="12.75" hidden="false" customHeight="false" outlineLevel="0" collapsed="false">
      <c r="A3" s="1" t="n">
        <v>1952</v>
      </c>
      <c r="B3" s="1" t="n">
        <v>376</v>
      </c>
      <c r="C3" s="1" t="n">
        <v>0</v>
      </c>
    </row>
    <row r="4" customFormat="false" ht="12.75" hidden="false" customHeight="false" outlineLevel="0" collapsed="false">
      <c r="A4" s="1" t="n">
        <v>1953</v>
      </c>
      <c r="B4" s="1" t="n">
        <v>586</v>
      </c>
      <c r="C4" s="1" t="n">
        <v>0</v>
      </c>
    </row>
    <row r="5" customFormat="false" ht="12.75" hidden="false" customHeight="false" outlineLevel="0" collapsed="false">
      <c r="A5" s="1" t="n">
        <v>1954</v>
      </c>
      <c r="B5" s="1" t="n">
        <v>787</v>
      </c>
      <c r="C5" s="1" t="n">
        <v>0</v>
      </c>
    </row>
    <row r="6" customFormat="false" ht="12.75" hidden="false" customHeight="false" outlineLevel="0" collapsed="false">
      <c r="A6" s="1" t="n">
        <v>1955</v>
      </c>
      <c r="B6" s="1" t="n">
        <v>949</v>
      </c>
      <c r="C6" s="1" t="n">
        <v>0</v>
      </c>
    </row>
    <row r="7" customFormat="false" ht="12.75" hidden="false" customHeight="false" outlineLevel="0" collapsed="false">
      <c r="A7" s="1" t="n">
        <v>1956</v>
      </c>
      <c r="B7" s="1" t="n">
        <v>1178</v>
      </c>
      <c r="C7" s="1" t="n">
        <v>0</v>
      </c>
    </row>
    <row r="8" customFormat="false" ht="12.75" hidden="false" customHeight="false" outlineLevel="0" collapsed="false">
      <c r="A8" s="1" t="n">
        <v>1957</v>
      </c>
      <c r="B8" s="1" t="n">
        <v>1292</v>
      </c>
      <c r="C8" s="1" t="n">
        <v>0</v>
      </c>
    </row>
    <row r="9" customFormat="false" ht="12.75" hidden="false" customHeight="false" outlineLevel="0" collapsed="false">
      <c r="A9" s="1" t="n">
        <v>1958</v>
      </c>
      <c r="B9" s="1" t="n">
        <v>1296</v>
      </c>
      <c r="C9" s="1" t="n">
        <v>0</v>
      </c>
    </row>
    <row r="10" customFormat="false" ht="12.75" hidden="false" customHeight="false" outlineLevel="0" collapsed="false">
      <c r="A10" s="1" t="n">
        <v>1959</v>
      </c>
      <c r="B10" s="1" t="n">
        <v>1725</v>
      </c>
      <c r="C10" s="1" t="n">
        <v>0</v>
      </c>
    </row>
    <row r="11" customFormat="false" ht="12.75" hidden="false" customHeight="false" outlineLevel="0" collapsed="false">
      <c r="A11" s="1" t="n">
        <v>1960</v>
      </c>
      <c r="B11" s="1" t="n">
        <v>1746</v>
      </c>
      <c r="C11" s="1" t="n">
        <v>0</v>
      </c>
    </row>
    <row r="12" customFormat="false" ht="12.75" hidden="false" customHeight="false" outlineLevel="0" collapsed="false">
      <c r="A12" s="1" t="n">
        <v>1961</v>
      </c>
      <c r="B12" s="1" t="n">
        <v>1997</v>
      </c>
      <c r="C12" s="1" t="n">
        <v>0</v>
      </c>
    </row>
    <row r="13" customFormat="false" ht="12.75" hidden="false" customHeight="false" outlineLevel="0" collapsed="false">
      <c r="A13" s="1" t="n">
        <v>1962</v>
      </c>
      <c r="B13" s="1" t="n">
        <v>2833</v>
      </c>
      <c r="C13" s="1" t="n">
        <v>0</v>
      </c>
    </row>
    <row r="14" customFormat="false" ht="12.75" hidden="false" customHeight="false" outlineLevel="0" collapsed="false">
      <c r="A14" s="1" t="n">
        <v>1963</v>
      </c>
      <c r="B14" s="1" t="n">
        <v>3702</v>
      </c>
      <c r="C14" s="1" t="n">
        <v>0</v>
      </c>
    </row>
    <row r="15" customFormat="false" ht="12.75" hidden="false" customHeight="false" outlineLevel="0" collapsed="false">
      <c r="A15" s="1" t="n">
        <v>1964</v>
      </c>
      <c r="B15" s="1" t="n">
        <v>4419</v>
      </c>
      <c r="C15" s="1" t="n">
        <v>0</v>
      </c>
    </row>
    <row r="16" customFormat="false" ht="12.75" hidden="false" customHeight="false" outlineLevel="0" collapsed="false">
      <c r="A16" s="1" t="n">
        <v>1965</v>
      </c>
      <c r="B16" s="1" t="n">
        <v>3637</v>
      </c>
      <c r="C16" s="1" t="n">
        <v>0</v>
      </c>
    </row>
    <row r="17" customFormat="false" ht="12.75" hidden="false" customHeight="false" outlineLevel="0" collapsed="false">
      <c r="A17" s="1" t="n">
        <v>1966</v>
      </c>
      <c r="B17" s="1" t="n">
        <v>3256</v>
      </c>
      <c r="C17" s="1" t="n">
        <v>0</v>
      </c>
    </row>
    <row r="18" customFormat="false" ht="12.75" hidden="false" customHeight="false" outlineLevel="0" collapsed="false">
      <c r="A18" s="1" t="n">
        <v>1967</v>
      </c>
      <c r="B18" s="1" t="n">
        <v>3650</v>
      </c>
      <c r="C18" s="1" t="n">
        <v>0</v>
      </c>
    </row>
    <row r="19" customFormat="false" ht="12.75" hidden="false" customHeight="false" outlineLevel="0" collapsed="false">
      <c r="A19" s="1" t="n">
        <v>1968</v>
      </c>
      <c r="B19" s="1" t="n">
        <v>4103</v>
      </c>
      <c r="C19" s="1" t="n">
        <v>0</v>
      </c>
    </row>
    <row r="20" customFormat="false" ht="12.75" hidden="false" customHeight="false" outlineLevel="0" collapsed="false">
      <c r="A20" s="1" t="n">
        <v>1969</v>
      </c>
      <c r="B20" s="1" t="n">
        <v>4825</v>
      </c>
      <c r="C20" s="1" t="n">
        <v>0</v>
      </c>
    </row>
    <row r="21" customFormat="false" ht="12.75" hidden="false" customHeight="false" outlineLevel="0" collapsed="false">
      <c r="A21" s="1" t="n">
        <v>1970</v>
      </c>
      <c r="B21" s="1" t="n">
        <v>5480</v>
      </c>
      <c r="C21" s="1" t="n">
        <v>0</v>
      </c>
    </row>
    <row r="22" customFormat="false" ht="12.75" hidden="false" customHeight="false" outlineLevel="0" collapsed="false">
      <c r="A22" s="1" t="n">
        <v>1971</v>
      </c>
      <c r="B22" s="1" t="n">
        <v>5143</v>
      </c>
      <c r="C22" s="1" t="n">
        <v>0</v>
      </c>
    </row>
    <row r="23" customFormat="false" ht="12.75" hidden="false" customHeight="false" outlineLevel="0" collapsed="false">
      <c r="A23" s="1" t="n">
        <v>1972</v>
      </c>
      <c r="B23" s="1" t="n">
        <v>5554</v>
      </c>
      <c r="C23" s="1" t="n">
        <v>0</v>
      </c>
    </row>
    <row r="24" customFormat="false" ht="12.75" hidden="false" customHeight="false" outlineLevel="0" collapsed="false">
      <c r="A24" s="1" t="n">
        <v>1973</v>
      </c>
      <c r="B24" s="1" t="n">
        <v>5749</v>
      </c>
      <c r="C24" s="1" t="n">
        <v>0</v>
      </c>
    </row>
    <row r="25" customFormat="false" ht="12.75" hidden="false" customHeight="false" outlineLevel="0" collapsed="false">
      <c r="A25" s="1" t="n">
        <v>1974</v>
      </c>
      <c r="B25" s="1" t="n">
        <v>5995</v>
      </c>
      <c r="C25" s="1" t="n">
        <v>0</v>
      </c>
    </row>
    <row r="26" customFormat="false" ht="12.75" hidden="false" customHeight="false" outlineLevel="0" collapsed="false">
      <c r="A26" s="1" t="n">
        <v>1975</v>
      </c>
      <c r="B26" s="1" t="n">
        <v>6808</v>
      </c>
      <c r="C26" s="1" t="n">
        <v>0</v>
      </c>
    </row>
    <row r="27" customFormat="false" ht="12.75" hidden="false" customHeight="false" outlineLevel="0" collapsed="false">
      <c r="A27" s="1" t="n">
        <v>1976</v>
      </c>
      <c r="B27" s="1" t="n">
        <v>7577</v>
      </c>
      <c r="C27" s="1" t="n">
        <v>0</v>
      </c>
    </row>
    <row r="28" customFormat="false" ht="12.75" hidden="false" customHeight="false" outlineLevel="0" collapsed="false">
      <c r="A28" s="1" t="n">
        <v>1977</v>
      </c>
      <c r="B28" s="1" t="n">
        <v>9166</v>
      </c>
      <c r="C28" s="1" t="n">
        <v>0</v>
      </c>
    </row>
    <row r="29" customFormat="false" ht="12.75" hidden="false" customHeight="false" outlineLevel="0" collapsed="false">
      <c r="A29" s="1" t="n">
        <v>1978</v>
      </c>
      <c r="B29" s="1" t="n">
        <v>11478</v>
      </c>
      <c r="C29" s="1" t="n">
        <v>0</v>
      </c>
    </row>
    <row r="30" customFormat="false" ht="12.75" hidden="false" customHeight="false" outlineLevel="0" collapsed="false">
      <c r="A30" s="1" t="n">
        <v>1979</v>
      </c>
      <c r="B30" s="1" t="n">
        <v>13391</v>
      </c>
      <c r="C30" s="1" t="n">
        <v>0</v>
      </c>
    </row>
    <row r="31" customFormat="false" ht="12.75" hidden="false" customHeight="false" outlineLevel="0" collapsed="false">
      <c r="A31" s="1" t="n">
        <v>1980</v>
      </c>
      <c r="B31" s="1" t="n">
        <v>15732</v>
      </c>
      <c r="C31" s="1" t="n">
        <v>0</v>
      </c>
    </row>
    <row r="32" customFormat="false" ht="12.75" hidden="false" customHeight="false" outlineLevel="0" collapsed="false">
      <c r="A32" s="1" t="n">
        <v>1981</v>
      </c>
      <c r="B32" s="1" t="n">
        <v>16730</v>
      </c>
      <c r="C32" s="1" t="n">
        <v>0</v>
      </c>
    </row>
    <row r="33" customFormat="false" ht="12.75" hidden="false" customHeight="false" outlineLevel="0" collapsed="false">
      <c r="A33" s="1" t="n">
        <v>1982</v>
      </c>
      <c r="B33" s="1" t="n">
        <v>15531</v>
      </c>
      <c r="C33" s="1" t="n">
        <v>0</v>
      </c>
    </row>
    <row r="34" customFormat="false" ht="12.75" hidden="false" customHeight="false" outlineLevel="0" collapsed="false">
      <c r="A34" s="1" t="n">
        <v>1983</v>
      </c>
      <c r="B34" s="1" t="n">
        <v>16358</v>
      </c>
      <c r="C34" s="1" t="n">
        <v>0</v>
      </c>
    </row>
    <row r="35" customFormat="false" ht="12.75" hidden="false" customHeight="false" outlineLevel="0" collapsed="false">
      <c r="A35" s="1" t="n">
        <v>1984</v>
      </c>
      <c r="B35" s="1" t="n">
        <v>18444</v>
      </c>
      <c r="C35" s="1" t="n">
        <v>0</v>
      </c>
    </row>
    <row r="36" customFormat="false" ht="12.75" hidden="false" customHeight="false" outlineLevel="0" collapsed="false">
      <c r="A36" s="1" t="n">
        <v>1985</v>
      </c>
      <c r="B36" s="1" t="n">
        <v>20246</v>
      </c>
      <c r="C36" s="1" t="n">
        <v>0</v>
      </c>
    </row>
    <row r="37" customFormat="false" ht="12.75" hidden="false" customHeight="false" outlineLevel="0" collapsed="false">
      <c r="A37" s="1" t="n">
        <v>1986</v>
      </c>
      <c r="B37" s="1" t="n">
        <v>21994</v>
      </c>
      <c r="C37" s="1" t="n">
        <v>0</v>
      </c>
    </row>
    <row r="38" customFormat="false" ht="12.75" hidden="false" customHeight="false" outlineLevel="0" collapsed="false">
      <c r="A38" s="1" t="n">
        <v>1987</v>
      </c>
      <c r="B38" s="1" t="n">
        <v>22671</v>
      </c>
      <c r="C38" s="1" t="n">
        <v>0</v>
      </c>
    </row>
    <row r="39" customFormat="false" ht="12.75" hidden="false" customHeight="false" outlineLevel="0" collapsed="false">
      <c r="A39" s="1" t="n">
        <v>1988</v>
      </c>
      <c r="B39" s="1" t="n">
        <v>22350</v>
      </c>
      <c r="C39" s="1" t="n">
        <v>0</v>
      </c>
    </row>
    <row r="40" customFormat="false" ht="12.75" hidden="false" customHeight="false" outlineLevel="0" collapsed="false">
      <c r="A40" s="1" t="n">
        <v>1989</v>
      </c>
      <c r="B40" s="1" t="n">
        <v>25675</v>
      </c>
      <c r="C40" s="1" t="n">
        <v>0</v>
      </c>
    </row>
    <row r="41" customFormat="false" ht="12.75" hidden="false" customHeight="false" outlineLevel="0" collapsed="false">
      <c r="A41" s="1" t="n">
        <v>1990</v>
      </c>
      <c r="B41" s="1" t="n">
        <v>28525</v>
      </c>
      <c r="C41" s="1" t="n">
        <v>0</v>
      </c>
    </row>
    <row r="42" customFormat="false" ht="12.75" hidden="false" customHeight="false" outlineLevel="0" collapsed="false">
      <c r="A42" s="1" t="n">
        <v>1991</v>
      </c>
      <c r="B42" s="1" t="n">
        <v>29764</v>
      </c>
      <c r="C42" s="1" t="n">
        <v>0</v>
      </c>
    </row>
    <row r="43" customFormat="false" ht="12.75" hidden="false" customHeight="false" outlineLevel="0" collapsed="false">
      <c r="A43" s="1" t="n">
        <v>1992</v>
      </c>
      <c r="B43" s="1" t="n">
        <v>27188</v>
      </c>
      <c r="C43" s="1" t="n">
        <v>0</v>
      </c>
    </row>
    <row r="44" customFormat="false" ht="12.75" hidden="false" customHeight="false" outlineLevel="0" collapsed="false">
      <c r="A44" s="1" t="n">
        <v>1993</v>
      </c>
      <c r="B44" s="1" t="n">
        <v>26765</v>
      </c>
      <c r="C44" s="1" t="n">
        <v>0</v>
      </c>
    </row>
    <row r="45" customFormat="false" ht="12.75" hidden="false" customHeight="false" outlineLevel="0" collapsed="false">
      <c r="A45" s="1" t="n">
        <v>1994</v>
      </c>
      <c r="B45" s="1" t="n">
        <v>26681</v>
      </c>
      <c r="C45" s="1" t="n">
        <v>0</v>
      </c>
    </row>
    <row r="46" customFormat="false" ht="12.75" hidden="false" customHeight="false" outlineLevel="0" collapsed="false">
      <c r="A46" s="1" t="n">
        <v>1995</v>
      </c>
      <c r="B46" s="1" t="n">
        <v>29571</v>
      </c>
      <c r="C46" s="1" t="n">
        <v>0</v>
      </c>
    </row>
    <row r="47" customFormat="false" ht="12.75" hidden="false" customHeight="false" outlineLevel="0" collapsed="false">
      <c r="A47" s="1" t="n">
        <v>1996</v>
      </c>
      <c r="B47" s="1" t="n">
        <v>31115</v>
      </c>
      <c r="C47" s="1" t="n">
        <v>0</v>
      </c>
    </row>
    <row r="48" customFormat="false" ht="12.75" hidden="false" customHeight="false" outlineLevel="0" collapsed="false">
      <c r="A48" s="1" t="n">
        <v>1997</v>
      </c>
      <c r="B48" s="1" t="n">
        <v>36671</v>
      </c>
      <c r="C48" s="1" t="n">
        <v>0</v>
      </c>
    </row>
    <row r="49" customFormat="false" ht="12.75" hidden="false" customHeight="false" outlineLevel="0" collapsed="false">
      <c r="A49" s="1" t="n">
        <v>1998</v>
      </c>
      <c r="B49" s="1" t="n">
        <v>36000</v>
      </c>
      <c r="C49" s="1" t="n">
        <v>0</v>
      </c>
    </row>
    <row r="50" customFormat="false" ht="12.75" hidden="false" customHeight="false" outlineLevel="0" collapsed="false">
      <c r="A50" s="1" t="n">
        <v>1999</v>
      </c>
      <c r="B50" s="1" t="n">
        <v>33879</v>
      </c>
      <c r="C50" s="1" t="n">
        <v>5088</v>
      </c>
    </row>
    <row r="51" customFormat="false" ht="12.75" hidden="false" customHeight="false" outlineLevel="0" collapsed="false">
      <c r="A51" s="1" t="n">
        <v>2000</v>
      </c>
      <c r="B51" s="1" t="n">
        <v>31719</v>
      </c>
      <c r="C51" s="1" t="n">
        <v>10342</v>
      </c>
    </row>
    <row r="52" customFormat="false" ht="12.75" hidden="false" customHeight="false" outlineLevel="0" collapsed="false">
      <c r="A52" s="1" t="n">
        <v>2001</v>
      </c>
      <c r="B52" s="1" t="n">
        <v>27599</v>
      </c>
      <c r="C52" s="1" t="n">
        <v>14753</v>
      </c>
    </row>
    <row r="53" customFormat="false" ht="12.75" hidden="false" customHeight="false" outlineLevel="0" collapsed="false">
      <c r="A53" s="1" t="n">
        <v>2002</v>
      </c>
      <c r="B53" s="1" t="n">
        <v>23660</v>
      </c>
      <c r="C53" s="1" t="n">
        <v>24551</v>
      </c>
    </row>
    <row r="54" customFormat="false" ht="12.75" hidden="false" customHeight="false" outlineLevel="0" collapsed="false">
      <c r="A54" s="1" t="n">
        <v>2003</v>
      </c>
      <c r="B54" s="1" t="n">
        <v>16296</v>
      </c>
      <c r="C54" s="1" t="n">
        <v>43408</v>
      </c>
    </row>
    <row r="55" customFormat="false" ht="12.75" hidden="false" customHeight="false" outlineLevel="0" collapsed="false">
      <c r="A55" s="1" t="n">
        <v>2004</v>
      </c>
      <c r="B55" s="1" t="n">
        <v>10056</v>
      </c>
      <c r="C55" s="1" t="n">
        <v>59766</v>
      </c>
    </row>
    <row r="56" customFormat="false" ht="12.75" hidden="false" customHeight="false" outlineLevel="0" collapsed="false">
      <c r="A56" s="1" t="n">
        <v>2005</v>
      </c>
      <c r="B56" s="1" t="n">
        <v>5380</v>
      </c>
      <c r="C56" s="1" t="n">
        <v>64766</v>
      </c>
    </row>
    <row r="57" customFormat="false" ht="12.75" hidden="false" customHeight="false" outlineLevel="0" collapsed="false">
      <c r="A57" s="1" t="n">
        <v>2006</v>
      </c>
      <c r="B57" s="1" t="n">
        <v>1637</v>
      </c>
      <c r="C57" s="1" t="n">
        <v>78981</v>
      </c>
    </row>
    <row r="58" customFormat="false" ht="12.75" hidden="false" customHeight="false" outlineLevel="0" collapsed="false">
      <c r="A58" s="1" t="n">
        <v>2007</v>
      </c>
      <c r="B58" s="1" t="n">
        <v>792</v>
      </c>
      <c r="C58" s="1" t="n">
        <v>100367</v>
      </c>
    </row>
    <row r="59" customFormat="false" ht="12.75" hidden="false" customHeight="false" outlineLevel="0" collapsed="false">
      <c r="A59" s="1" t="n">
        <v>2008</v>
      </c>
      <c r="B59" s="1" t="n">
        <v>0</v>
      </c>
      <c r="C59" s="1" t="n">
        <v>119757</v>
      </c>
    </row>
    <row r="60" customFormat="false" ht="12.75" hidden="false" customHeight="false" outlineLevel="0" collapsed="false">
      <c r="A60" s="1" t="n">
        <v>2009</v>
      </c>
      <c r="B60" s="1" t="n">
        <v>0</v>
      </c>
      <c r="C60" s="1" t="n">
        <v>105864</v>
      </c>
    </row>
    <row r="61" customFormat="false" ht="12.75" hidden="false" customHeight="false" outlineLevel="0" collapsed="false">
      <c r="A61" s="1" t="n">
        <v>2010</v>
      </c>
      <c r="B61" s="1" t="n">
        <v>0</v>
      </c>
      <c r="C61" s="1" t="n">
        <v>121463</v>
      </c>
    </row>
    <row r="62" customFormat="false" ht="12.75" hidden="false" customHeight="false" outlineLevel="0" collapsed="false">
      <c r="A62" s="1" t="n">
        <v>2011</v>
      </c>
      <c r="B62" s="1" t="n">
        <v>0</v>
      </c>
      <c r="C62" s="1" t="n">
        <v>115524</v>
      </c>
    </row>
    <row r="63" customFormat="false" ht="12.75" hidden="false" customHeight="false" outlineLevel="0" collapsed="false">
      <c r="A63" s="1" t="n">
        <v>2012</v>
      </c>
      <c r="B63" s="1" t="n">
        <v>0</v>
      </c>
      <c r="C63" s="1" t="n">
        <v>98139</v>
      </c>
    </row>
    <row r="64" customFormat="false" ht="12.75" hidden="false" customHeight="false" outlineLevel="0" collapsed="false">
      <c r="A64" s="1" t="n">
        <v>2013</v>
      </c>
      <c r="B64" s="1" t="n">
        <v>0</v>
      </c>
      <c r="C64" s="1" t="n">
        <v>66284</v>
      </c>
    </row>
    <row r="65" customFormat="false" ht="12.75" hidden="false" customHeight="false" outlineLevel="0" collapsed="false">
      <c r="A65" s="1" t="n">
        <v>2014</v>
      </c>
      <c r="B65" s="1" t="n">
        <v>0</v>
      </c>
      <c r="C65" s="1" t="n">
        <v>43434</v>
      </c>
    </row>
    <row r="66" customFormat="false" ht="12.75" hidden="false" customHeight="false" outlineLevel="0" collapsed="false">
      <c r="A66" s="1" t="n">
        <v>2015</v>
      </c>
      <c r="B66" s="1" t="n">
        <v>0</v>
      </c>
      <c r="C66" s="1" t="n">
        <v>35395</v>
      </c>
    </row>
    <row r="67" customFormat="false" ht="12.75" hidden="false" customHeight="false" outlineLevel="0" collapsed="false">
      <c r="A67" s="1" t="n">
        <v>2016</v>
      </c>
      <c r="B67" s="1" t="n">
        <v>0</v>
      </c>
      <c r="C67" s="1" t="n">
        <v>2419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3</v>
      </c>
      <c r="D1" s="0" t="s">
        <v>4</v>
      </c>
      <c r="G1" s="0" t="s">
        <v>5</v>
      </c>
    </row>
    <row r="3" customFormat="false" ht="12.8" hidden="false" customHeight="false" outlineLevel="0" collapsed="false">
      <c r="A3" s="1" t="n">
        <v>1999</v>
      </c>
      <c r="B3" s="1" t="n">
        <v>5088</v>
      </c>
      <c r="D3" s="1" t="n">
        <v>1999</v>
      </c>
      <c r="E3" s="1" t="n">
        <v>5088</v>
      </c>
      <c r="G3" s="1" t="n">
        <v>1999</v>
      </c>
      <c r="H3" s="1" t="n">
        <v>5088</v>
      </c>
    </row>
    <row r="4" customFormat="false" ht="12.8" hidden="false" customHeight="false" outlineLevel="0" collapsed="false">
      <c r="A4" s="1" t="n">
        <v>2000</v>
      </c>
      <c r="B4" s="1" t="n">
        <v>10342</v>
      </c>
      <c r="D4" s="1" t="n">
        <v>2000</v>
      </c>
      <c r="E4" s="1" t="n">
        <v>10342</v>
      </c>
      <c r="G4" s="1" t="n">
        <v>2000</v>
      </c>
      <c r="H4" s="1" t="n">
        <v>10342</v>
      </c>
    </row>
    <row r="5" customFormat="false" ht="12.8" hidden="false" customHeight="false" outlineLevel="0" collapsed="false">
      <c r="A5" s="1" t="n">
        <v>2001</v>
      </c>
      <c r="B5" s="1" t="n">
        <v>14753</v>
      </c>
      <c r="D5" s="1" t="n">
        <v>2001</v>
      </c>
      <c r="E5" s="1" t="n">
        <v>14753</v>
      </c>
      <c r="G5" s="1" t="n">
        <v>2001</v>
      </c>
      <c r="H5" s="1" t="n">
        <v>14753</v>
      </c>
    </row>
    <row r="6" customFormat="false" ht="12.8" hidden="false" customHeight="false" outlineLevel="0" collapsed="false">
      <c r="A6" s="1" t="n">
        <v>2002</v>
      </c>
      <c r="B6" s="1" t="n">
        <v>24551</v>
      </c>
      <c r="D6" s="1" t="n">
        <v>2002</v>
      </c>
      <c r="E6" s="1" t="n">
        <v>24551</v>
      </c>
      <c r="G6" s="1" t="n">
        <v>2002</v>
      </c>
      <c r="H6" s="1" t="n">
        <v>24551</v>
      </c>
    </row>
    <row r="7" customFormat="false" ht="12.8" hidden="false" customHeight="false" outlineLevel="0" collapsed="false">
      <c r="A7" s="1" t="n">
        <v>2003</v>
      </c>
      <c r="B7" s="1" t="n">
        <v>43408</v>
      </c>
      <c r="D7" s="1" t="n">
        <v>2003</v>
      </c>
      <c r="E7" s="1" t="n">
        <v>43408</v>
      </c>
      <c r="G7" s="1" t="n">
        <v>2003</v>
      </c>
      <c r="H7" s="1" t="n">
        <v>43408</v>
      </c>
    </row>
    <row r="8" customFormat="false" ht="12.8" hidden="false" customHeight="false" outlineLevel="0" collapsed="false">
      <c r="A8" s="1" t="n">
        <v>2004</v>
      </c>
      <c r="B8" s="1" t="n">
        <v>59766</v>
      </c>
      <c r="D8" s="1" t="n">
        <v>2004</v>
      </c>
      <c r="E8" s="1" t="n">
        <v>59766</v>
      </c>
      <c r="G8" s="1" t="n">
        <v>2004</v>
      </c>
      <c r="H8" s="1" t="n">
        <v>59766</v>
      </c>
    </row>
    <row r="9" customFormat="false" ht="12.8" hidden="false" customHeight="false" outlineLevel="0" collapsed="false">
      <c r="A9" s="1" t="n">
        <v>2005</v>
      </c>
      <c r="B9" s="1" t="n">
        <v>64766</v>
      </c>
      <c r="D9" s="1" t="n">
        <v>2005</v>
      </c>
      <c r="E9" s="1" t="n">
        <v>64766</v>
      </c>
      <c r="G9" s="1" t="n">
        <v>2005</v>
      </c>
      <c r="H9" s="1" t="n">
        <v>64766</v>
      </c>
    </row>
    <row r="10" customFormat="false" ht="12.8" hidden="false" customHeight="false" outlineLevel="0" collapsed="false">
      <c r="A10" s="1" t="n">
        <v>2006</v>
      </c>
      <c r="B10" s="1" t="n">
        <v>78981</v>
      </c>
      <c r="D10" s="1" t="n">
        <v>2006</v>
      </c>
      <c r="E10" s="1" t="n">
        <v>78981</v>
      </c>
      <c r="G10" s="1" t="n">
        <v>2006</v>
      </c>
      <c r="H10" s="1" t="n">
        <v>78981</v>
      </c>
    </row>
    <row r="11" customFormat="false" ht="12.8" hidden="false" customHeight="false" outlineLevel="0" collapsed="false">
      <c r="A11" s="1" t="n">
        <v>2007</v>
      </c>
      <c r="B11" s="1" t="n">
        <v>100367</v>
      </c>
      <c r="D11" s="1" t="n">
        <v>2007</v>
      </c>
      <c r="E11" s="1" t="n">
        <v>100367</v>
      </c>
      <c r="G11" s="1" t="n">
        <v>2007</v>
      </c>
      <c r="H11" s="1" t="n">
        <v>100367</v>
      </c>
    </row>
    <row r="12" customFormat="false" ht="12.8" hidden="false" customHeight="false" outlineLevel="0" collapsed="false">
      <c r="A12" s="1" t="n">
        <v>2008</v>
      </c>
      <c r="B12" s="1" t="n">
        <v>119757</v>
      </c>
      <c r="D12" s="1" t="n">
        <v>2008</v>
      </c>
      <c r="E12" s="1"/>
      <c r="G12" s="1" t="n">
        <v>2008</v>
      </c>
      <c r="H12" s="1" t="n">
        <v>119757</v>
      </c>
    </row>
    <row r="13" customFormat="false" ht="12.8" hidden="false" customHeight="false" outlineLevel="0" collapsed="false">
      <c r="A13" s="1" t="n">
        <v>2009</v>
      </c>
      <c r="B13" s="1"/>
      <c r="D13" s="1"/>
      <c r="E13" s="1"/>
      <c r="G13" s="1" t="n">
        <v>2009</v>
      </c>
      <c r="H13" s="1" t="n">
        <v>105864</v>
      </c>
    </row>
    <row r="14" customFormat="false" ht="12.8" hidden="false" customHeight="false" outlineLevel="0" collapsed="false">
      <c r="G14" s="0" t="n">
        <v>2010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C1" colorId="64" zoomScale="150" zoomScaleNormal="150" zoomScalePageLayoutView="100" workbookViewId="0">
      <selection pane="topLeft" activeCell="F15" activeCellId="0" sqref="F15"/>
    </sheetView>
  </sheetViews>
  <sheetFormatPr defaultColWidth="11.640625" defaultRowHeight="12.75" zeroHeight="false" outlineLevelRow="0" outlineLevelCol="0"/>
  <cols>
    <col collapsed="false" customWidth="true" hidden="false" outlineLevel="0" max="1" min="1" style="1" width="7.57"/>
    <col collapsed="false" customWidth="true" hidden="false" outlineLevel="0" max="3" min="2" style="2" width="15"/>
    <col collapsed="false" customWidth="true" hidden="false" outlineLevel="0" max="4" min="4" style="2" width="16.57"/>
    <col collapsed="false" customWidth="true" hidden="false" outlineLevel="0" max="8" min="6" style="1" width="12.86"/>
  </cols>
  <sheetData>
    <row r="1" customFormat="false" ht="40.15" hidden="false" customHeight="true" outlineLevel="0" collapsed="false">
      <c r="A1" s="1" t="s">
        <v>0</v>
      </c>
      <c r="B1" s="3" t="s">
        <v>6</v>
      </c>
      <c r="C1" s="3" t="s">
        <v>7</v>
      </c>
      <c r="D1" s="3" t="s">
        <v>8</v>
      </c>
      <c r="E1" s="3" t="s">
        <v>9</v>
      </c>
    </row>
    <row r="2" customFormat="false" ht="12.9" hidden="false" customHeight="false" outlineLevel="0" collapsed="false">
      <c r="A2" s="1" t="n">
        <v>1999</v>
      </c>
      <c r="B2" s="2" t="n">
        <v>5088</v>
      </c>
      <c r="C2" s="2" t="n">
        <v>0</v>
      </c>
      <c r="D2" s="2" t="n">
        <f aca="false">C2*C2</f>
        <v>0</v>
      </c>
      <c r="E2" s="4" t="n">
        <f aca="false">$H$3+$G$3*C2+$F$3*D2</f>
        <v>11078.6329475352</v>
      </c>
      <c r="F2" s="5" t="s">
        <v>10</v>
      </c>
      <c r="G2" s="5" t="s">
        <v>11</v>
      </c>
      <c r="H2" s="5" t="s">
        <v>12</v>
      </c>
    </row>
    <row r="3" customFormat="false" ht="12.8" hidden="false" customHeight="false" outlineLevel="0" collapsed="false">
      <c r="A3" s="1" t="n">
        <v>2000</v>
      </c>
      <c r="B3" s="2" t="n">
        <v>10342</v>
      </c>
      <c r="C3" s="2" t="n">
        <f aca="false">C2+B2</f>
        <v>5088</v>
      </c>
      <c r="D3" s="2" t="n">
        <f aca="false">C3*C3</f>
        <v>25887744</v>
      </c>
      <c r="E3" s="4" t="n">
        <f aca="false">$H$3+$G$3*C3+$F$3*D3</f>
        <v>13249.6822131363</v>
      </c>
      <c r="F3" s="6" t="n">
        <f aca="false" t="array" ref="F3:H3">LINEST(B2:B11,C2:D11, ,0)</f>
        <v>-4.14272061302908E-007</v>
      </c>
      <c r="G3" s="6" t="n">
        <v>0.428807750524872</v>
      </c>
      <c r="H3" s="6" t="n">
        <v>11078.6329475352</v>
      </c>
    </row>
    <row r="4" customFormat="false" ht="12.8" hidden="false" customHeight="false" outlineLevel="0" collapsed="false">
      <c r="A4" s="1" t="n">
        <v>2001</v>
      </c>
      <c r="B4" s="2" t="n">
        <v>14753</v>
      </c>
      <c r="C4" s="2" t="n">
        <f aca="false">C3+B3</f>
        <v>15430</v>
      </c>
      <c r="D4" s="2" t="n">
        <f aca="false">C4*C4</f>
        <v>238084900</v>
      </c>
      <c r="E4" s="4" t="n">
        <f aca="false">$H$3+$G$3*C4+$F$3*D4</f>
        <v>17596.5046158458</v>
      </c>
    </row>
    <row r="5" customFormat="false" ht="12.8" hidden="false" customHeight="false" outlineLevel="0" collapsed="false">
      <c r="A5" s="1" t="n">
        <v>2002</v>
      </c>
      <c r="B5" s="2" t="n">
        <v>24551</v>
      </c>
      <c r="C5" s="2" t="n">
        <f aca="false">C4+B4</f>
        <v>30183</v>
      </c>
      <c r="D5" s="2" t="n">
        <f aca="false">C5*C5</f>
        <v>911013489</v>
      </c>
      <c r="E5" s="4" t="n">
        <f aca="false">$H$3+$G$3*C5+$F$3*D5</f>
        <v>23643.9298456646</v>
      </c>
    </row>
    <row r="6" customFormat="false" ht="12.8" hidden="false" customHeight="false" outlineLevel="0" collapsed="false">
      <c r="A6" s="1" t="n">
        <v>2003</v>
      </c>
      <c r="B6" s="2" t="n">
        <v>43408</v>
      </c>
      <c r="C6" s="2" t="n">
        <f aca="false">C5+B5</f>
        <v>54734</v>
      </c>
      <c r="D6" s="2" t="n">
        <f aca="false">C6*C6</f>
        <v>2995810756</v>
      </c>
      <c r="E6" s="4" t="n">
        <f aca="false">$H$3+$G$3*C6+$F$3*D6</f>
        <v>33307.915667602</v>
      </c>
      <c r="F6" s="7" t="s">
        <v>13</v>
      </c>
      <c r="G6" s="2" t="n">
        <f aca="false">(-G3-SQRT(G3^2-4*F3*H3))/(2*F3)</f>
        <v>1060308.64670573</v>
      </c>
    </row>
    <row r="7" customFormat="false" ht="12.8" hidden="false" customHeight="false" outlineLevel="0" collapsed="false">
      <c r="A7" s="1" t="n">
        <v>2004</v>
      </c>
      <c r="B7" s="2" t="n">
        <v>59766</v>
      </c>
      <c r="C7" s="2" t="n">
        <f aca="false">C6+B6</f>
        <v>98142</v>
      </c>
      <c r="D7" s="2" t="n">
        <f aca="false">C7*C7</f>
        <v>9631852164</v>
      </c>
      <c r="E7" s="4" t="n">
        <f aca="false">$H$3+$G$3*C7+$F$3*D7</f>
        <v>49172.475949402</v>
      </c>
      <c r="F7" s="7" t="s">
        <v>14</v>
      </c>
      <c r="G7" s="8" t="n">
        <f aca="false">H3/G6</f>
        <v>0.010448498163205</v>
      </c>
    </row>
    <row r="8" customFormat="false" ht="12.8" hidden="false" customHeight="false" outlineLevel="0" collapsed="false">
      <c r="A8" s="1" t="n">
        <v>2005</v>
      </c>
      <c r="B8" s="2" t="n">
        <v>64766</v>
      </c>
      <c r="C8" s="2" t="n">
        <f aca="false">C7+B7</f>
        <v>157908</v>
      </c>
      <c r="D8" s="2" t="n">
        <f aca="false">C8*C8</f>
        <v>24934936464</v>
      </c>
      <c r="E8" s="4" t="n">
        <f aca="false">$H$3+$G$3*C8+$F$3*D8</f>
        <v>68460.9596900184</v>
      </c>
      <c r="F8" s="7" t="s">
        <v>15</v>
      </c>
      <c r="G8" s="8" t="n">
        <f aca="false">-F3*G6</f>
        <v>0.439256248688078</v>
      </c>
    </row>
    <row r="9" customFormat="false" ht="12.8" hidden="false" customHeight="false" outlineLevel="0" collapsed="false">
      <c r="A9" s="1" t="n">
        <v>2006</v>
      </c>
      <c r="B9" s="2" t="n">
        <v>78981</v>
      </c>
      <c r="C9" s="2" t="n">
        <f aca="false">C8+B8</f>
        <v>222674</v>
      </c>
      <c r="D9" s="2" t="n">
        <f aca="false">C9*C9</f>
        <v>49583710276</v>
      </c>
      <c r="E9" s="4" t="n">
        <f aca="false">$H$3+$G$3*C9+$F$3*D9</f>
        <v>86021.8241248259</v>
      </c>
    </row>
    <row r="10" customFormat="false" ht="12.8" hidden="false" customHeight="false" outlineLevel="0" collapsed="false">
      <c r="A10" s="1" t="n">
        <v>2007</v>
      </c>
      <c r="B10" s="2" t="n">
        <v>100367</v>
      </c>
      <c r="C10" s="2" t="n">
        <f aca="false">C9+B9</f>
        <v>301655</v>
      </c>
      <c r="D10" s="2" t="n">
        <f aca="false">C10*C10</f>
        <v>90995739025</v>
      </c>
      <c r="E10" s="4" t="n">
        <f aca="false">$H$3+$G$3*C10+$F$3*D10</f>
        <v>102733.642556447</v>
      </c>
    </row>
    <row r="11" customFormat="false" ht="12.8" hidden="false" customHeight="false" outlineLevel="0" collapsed="false">
      <c r="A11" s="1" t="n">
        <v>2008</v>
      </c>
      <c r="B11" s="2" t="n">
        <v>119757</v>
      </c>
      <c r="C11" s="2" t="n">
        <f aca="false">C10+B10</f>
        <v>402022</v>
      </c>
      <c r="D11" s="2" t="n">
        <f aca="false">C11*C11</f>
        <v>161621688484</v>
      </c>
      <c r="E11" s="4" t="n">
        <f aca="false">$H$3+$G$3*C11+$F$3*D11</f>
        <v>116513.432389522</v>
      </c>
      <c r="G11" s="2"/>
    </row>
    <row r="12" customFormat="false" ht="12.8" hidden="false" customHeight="false" outlineLevel="0" collapsed="false">
      <c r="A12" s="9" t="n">
        <v>2009</v>
      </c>
      <c r="B12" s="10" t="n">
        <f aca="false">$H$3+$G$3*C12+$F$3*D12</f>
        <v>122034.566130201</v>
      </c>
      <c r="C12" s="2" t="n">
        <f aca="false">C11+B11</f>
        <v>521779</v>
      </c>
      <c r="D12" s="2" t="n">
        <f aca="false">C12*C12</f>
        <v>272253324841</v>
      </c>
      <c r="E12" s="4"/>
    </row>
    <row r="13" customFormat="false" ht="12.8" hidden="false" customHeight="false" outlineLevel="0" collapsed="false">
      <c r="A13" s="9" t="n">
        <v>2010</v>
      </c>
      <c r="B13" s="10" t="n">
        <f aca="false">$H$3+$G$3*C13+$F$3*D13</f>
        <v>115436.80581608</v>
      </c>
      <c r="C13" s="10" t="n">
        <f aca="false">C12+B12</f>
        <v>643813.566130201</v>
      </c>
      <c r="D13" s="10" t="n">
        <f aca="false">C13*C13</f>
        <v>414495907933.287</v>
      </c>
    </row>
    <row r="14" customFormat="false" ht="12.8" hidden="false" customHeight="false" outlineLevel="0" collapsed="false">
      <c r="A14" s="9" t="n">
        <v>2011</v>
      </c>
      <c r="B14" s="10" t="n">
        <f aca="false">$H$3+$G$3*C14+$F$3*D14</f>
        <v>97839.3375591892</v>
      </c>
      <c r="C14" s="10" t="n">
        <f aca="false">C13+B13</f>
        <v>759250.371946281</v>
      </c>
      <c r="D14" s="10" t="n">
        <f aca="false">C14*C14</f>
        <v>576461127300.567</v>
      </c>
    </row>
    <row r="15" customFormat="false" ht="12.8" hidden="false" customHeight="false" outlineLevel="0" collapsed="false">
      <c r="A15" s="9" t="n">
        <v>2012</v>
      </c>
      <c r="B15" s="10" t="n">
        <f aca="false">$H$3+$G$3*C15+$F$3*D15</f>
        <v>74279.9394537974</v>
      </c>
      <c r="C15" s="10" t="n">
        <f aca="false">C14+B14</f>
        <v>857089.709505471</v>
      </c>
      <c r="D15" s="10" t="n">
        <f aca="false">C15*C15</f>
        <v>734602770140.172</v>
      </c>
    </row>
    <row r="16" customFormat="false" ht="12.8" hidden="false" customHeight="false" outlineLevel="0" collapsed="false">
      <c r="A16" s="9" t="n">
        <v>2013</v>
      </c>
      <c r="B16" s="10" t="n">
        <f aca="false">$H$3+$G$3*C16+$F$3*D16</f>
        <v>51097.0964816313</v>
      </c>
      <c r="C16" s="10" t="n">
        <f aca="false">C15+B15</f>
        <v>931369.648959268</v>
      </c>
      <c r="D16" s="10" t="n">
        <f aca="false">C16*C16</f>
        <v>867449423002.51</v>
      </c>
    </row>
    <row r="17" customFormat="false" ht="12.8" hidden="false" customHeight="false" outlineLevel="0" collapsed="false">
      <c r="A17" s="9" t="n">
        <v>2014</v>
      </c>
      <c r="B17" s="10" t="n">
        <f aca="false">$H$3+$G$3*C17+$F$3*D17</f>
        <v>32495.6482856072</v>
      </c>
      <c r="C17" s="10" t="n">
        <f aca="false">C16+B16</f>
        <v>982466.745440899</v>
      </c>
      <c r="D17" s="10" t="n">
        <f aca="false">C17*C17</f>
        <v>965240905897.233</v>
      </c>
    </row>
    <row r="18" customFormat="false" ht="12.8" hidden="false" customHeight="false" outlineLevel="0" collapsed="false">
      <c r="A18" s="9" t="n">
        <v>2015</v>
      </c>
      <c r="B18" s="10" t="n">
        <f aca="false">$H$3+$G$3*C18+$F$3*D18</f>
        <v>19540.5647608029</v>
      </c>
      <c r="C18" s="10" t="n">
        <f aca="false">C17+B17</f>
        <v>1014962.39372651</v>
      </c>
      <c r="D18" s="10" t="n">
        <f aca="false">C18*C18</f>
        <v>1030148660679.04</v>
      </c>
    </row>
    <row r="19" customFormat="false" ht="12.8" hidden="false" customHeight="false" outlineLevel="0" collapsed="false">
      <c r="A19" s="9" t="n">
        <v>2016</v>
      </c>
      <c r="B19" s="10" t="n">
        <f aca="false">$H$3+$G$3*C19+$F$3*D19</f>
        <v>11329.062825446</v>
      </c>
      <c r="C19" s="10" t="n">
        <f aca="false">C18+B18</f>
        <v>1034502.95848731</v>
      </c>
      <c r="D19" s="10" t="n">
        <f aca="false">C19*C19</f>
        <v>1070196371119</v>
      </c>
    </row>
    <row r="20" customFormat="false" ht="12.8" hidden="false" customHeight="false" outlineLevel="0" collapsed="false">
      <c r="A20" s="9" t="n">
        <v>2017</v>
      </c>
      <c r="B20" s="10" t="n">
        <f aca="false">$H$3+$G$3*C20+$F$3*D20</f>
        <v>6423.38705032348</v>
      </c>
      <c r="C20" s="10" t="n">
        <f aca="false">C19+B19</f>
        <v>1045832.02131276</v>
      </c>
      <c r="D20" s="10" t="n">
        <f aca="false">C20*C20</f>
        <v>1093764616803.12</v>
      </c>
    </row>
    <row r="21" customFormat="false" ht="12.8" hidden="false" customHeight="false" outlineLevel="0" collapsed="false">
      <c r="A21" s="9" t="n">
        <v>2018</v>
      </c>
      <c r="B21" s="10" t="n">
        <f aca="false">$H$3+$G$3*C21+$F$3*D21</f>
        <v>3594.7120415825</v>
      </c>
      <c r="C21" s="10" t="n">
        <f aca="false">C20+B20</f>
        <v>1052255.40836308</v>
      </c>
      <c r="D21" s="10" t="n">
        <f aca="false">C21*C21</f>
        <v>1107241444429.35</v>
      </c>
    </row>
    <row r="22" customFormat="false" ht="12.8" hidden="false" customHeight="false" outlineLevel="0" collapsed="false">
      <c r="A22" s="9" t="n">
        <f aca="false">A21+1</f>
        <v>2019</v>
      </c>
      <c r="B22" s="10" t="n">
        <f aca="false">$H$3+$G$3*C22+$F$3*D22</f>
        <v>1996.78535228537</v>
      </c>
      <c r="C22" s="10" t="n">
        <f aca="false">C21+B21</f>
        <v>1055850.12040466</v>
      </c>
      <c r="D22" s="10" t="n">
        <f aca="false">C22*C22</f>
        <v>1114819476758.54</v>
      </c>
    </row>
    <row r="23" customFormat="false" ht="12.75" hidden="false" customHeight="false" outlineLevel="0" collapsed="false">
      <c r="A23" s="9" t="n">
        <f aca="false">A22+1</f>
        <v>2020</v>
      </c>
      <c r="B23" s="10" t="n">
        <f aca="false">$H$3+$G$3*C23+$F$3*D23</f>
        <v>1104.54603168834</v>
      </c>
      <c r="C23" s="10" t="n">
        <f aca="false">C22+B22</f>
        <v>1057846.90575695</v>
      </c>
      <c r="D23" s="10" t="n">
        <f aca="false">C23*C23</f>
        <v>1119040076019.55</v>
      </c>
    </row>
    <row r="24" customFormat="false" ht="12.75" hidden="false" customHeight="false" outlineLevel="0" collapsed="false">
      <c r="A24" s="9" t="n">
        <f aca="false">A23+1</f>
        <v>2021</v>
      </c>
      <c r="B24" s="10" t="n">
        <f aca="false">$H$3+$G$3*C24+$F$3*D24</f>
        <v>609.573916577443</v>
      </c>
      <c r="C24" s="10" t="n">
        <f aca="false">C23+B23</f>
        <v>1058951.45178864</v>
      </c>
      <c r="D24" s="10" t="n">
        <f aca="false">C24*C24</f>
        <v>1121378177245.26</v>
      </c>
    </row>
    <row r="25" customFormat="false" ht="12.75" hidden="false" customHeight="false" outlineLevel="0" collapsed="false">
      <c r="A25" s="9" t="n">
        <f aca="false">A24+1</f>
        <v>2022</v>
      </c>
      <c r="B25" s="10" t="n">
        <f aca="false">$H$3+$G$3*C25+$F$3*D25</f>
        <v>335.977160726965</v>
      </c>
      <c r="C25" s="10" t="n">
        <f aca="false">C24+B24</f>
        <v>1059561.02570521</v>
      </c>
      <c r="D25" s="10" t="n">
        <f aca="false">C25*C25</f>
        <v>1122669567193.48</v>
      </c>
    </row>
    <row r="26" customFormat="false" ht="12.75" hidden="false" customHeight="false" outlineLevel="0" collapsed="false">
      <c r="A26" s="9" t="n">
        <f aca="false">A25+1</f>
        <v>2023</v>
      </c>
      <c r="B26" s="10" t="n">
        <f aca="false">$H$3+$G$3*C26+$F$3*D26</f>
        <v>185.047990093648</v>
      </c>
      <c r="C26" s="10" t="n">
        <f aca="false">C25+B25</f>
        <v>1059897.00286594</v>
      </c>
      <c r="D26" s="10" t="n">
        <f aca="false">C26*C26</f>
        <v>1123381656684.2</v>
      </c>
    </row>
    <row r="27" customFormat="false" ht="12.75" hidden="false" customHeight="false" outlineLevel="0" collapsed="false">
      <c r="A27" s="9" t="n">
        <f aca="false">A26+1</f>
        <v>2024</v>
      </c>
      <c r="B27" s="10" t="n">
        <f aca="false">$H$3+$G$3*C27+$F$3*D27</f>
        <v>101.8799581434</v>
      </c>
      <c r="C27" s="10" t="n">
        <f aca="false">C26+B26</f>
        <v>1060082.05085603</v>
      </c>
      <c r="D27" s="10" t="n">
        <f aca="false">C27*C27</f>
        <v>1123773954547.13</v>
      </c>
    </row>
    <row r="28" customFormat="false" ht="12.75" hidden="false" customHeight="false" outlineLevel="0" collapsed="false">
      <c r="A28" s="9" t="n">
        <f aca="false">A27+1</f>
        <v>2025</v>
      </c>
      <c r="B28" s="10" t="n">
        <f aca="false">$H$3+$G$3*C28+$F$3*D28</f>
        <v>56.0788848277298</v>
      </c>
      <c r="C28" s="10" t="n">
        <f aca="false">C27+B27</f>
        <v>1060183.93081418</v>
      </c>
      <c r="D28" s="10" t="n">
        <f aca="false">C28*C28</f>
        <v>1123989967156.6</v>
      </c>
    </row>
    <row r="29" customFormat="false" ht="12.75" hidden="false" customHeight="false" outlineLevel="0" collapsed="false">
      <c r="A29" s="9" t="n">
        <f aca="false">A28+1</f>
        <v>2026</v>
      </c>
      <c r="B29" s="10" t="n">
        <f aca="false">$H$3+$G$3*C29+$F$3*D29</f>
        <v>30.8644360806793</v>
      </c>
      <c r="C29" s="10" t="n">
        <f aca="false">C28+B28</f>
        <v>1060240.009699</v>
      </c>
      <c r="D29" s="10" t="n">
        <f aca="false">C29*C29</f>
        <v>1124108878166.54</v>
      </c>
    </row>
    <row r="30" customFormat="false" ht="12.75" hidden="false" customHeight="false" outlineLevel="0" collapsed="false">
      <c r="A30" s="9" t="n">
        <f aca="false">A29+1</f>
        <v>2027</v>
      </c>
      <c r="B30" s="10" t="n">
        <f aca="false">$H$3+$G$3*C30+$F$3*D30</f>
        <v>16.985913248267</v>
      </c>
      <c r="C30" s="10" t="n">
        <f aca="false">C29+B29</f>
        <v>1060270.87413509</v>
      </c>
      <c r="D30" s="10" t="n">
        <f aca="false">C30*C30</f>
        <v>1124174326539.18</v>
      </c>
    </row>
    <row r="31" customFormat="false" ht="12.75" hidden="false" customHeight="false" outlineLevel="0" collapsed="false">
      <c r="A31" s="9" t="n">
        <f aca="false">A30+1</f>
        <v>2028</v>
      </c>
      <c r="B31" s="10" t="n">
        <f aca="false">$H$3+$G$3*C31+$F$3*D31</f>
        <v>9.34767949982779</v>
      </c>
      <c r="C31" s="10" t="n">
        <f aca="false">C30+B30</f>
        <v>1060287.86004833</v>
      </c>
      <c r="D31" s="10" t="n">
        <f aca="false">C31*C31</f>
        <v>1124210346165.87</v>
      </c>
    </row>
    <row r="32" customFormat="false" ht="12.75" hidden="false" customHeight="false" outlineLevel="0" collapsed="false">
      <c r="A32" s="9" t="n">
        <f aca="false">A31+1</f>
        <v>2029</v>
      </c>
      <c r="B32" s="10" t="n">
        <f aca="false">$H$3+$G$3*C32+$F$3*D32</f>
        <v>5.14410844992381</v>
      </c>
      <c r="C32" s="10" t="n">
        <f aca="false">C31+B31</f>
        <v>1060297.20772783</v>
      </c>
      <c r="D32" s="10" t="n">
        <f aca="false">C32*C32</f>
        <v>1124230168715.44</v>
      </c>
    </row>
    <row r="33" customFormat="false" ht="12.75" hidden="false" customHeight="false" outlineLevel="0" collapsed="false">
      <c r="A33" s="9" t="n">
        <f aca="false">A32+1</f>
        <v>2030</v>
      </c>
      <c r="B33" s="10" t="n">
        <f aca="false">$H$3+$G$3*C33+$F$3*D33</f>
        <v>2.8308162537287</v>
      </c>
      <c r="C33" s="10" t="n">
        <f aca="false">C32+B32</f>
        <v>1060302.35183628</v>
      </c>
      <c r="D33" s="10" t="n">
        <f aca="false">C33*C33</f>
        <v>1124241077309.55</v>
      </c>
    </row>
    <row r="34" customFormat="false" ht="12.75" hidden="false" customHeight="false" outlineLevel="0" collapsed="false">
      <c r="A34" s="9" t="n">
        <f aca="false">A33+1</f>
        <v>2031</v>
      </c>
      <c r="B34" s="10" t="n">
        <f aca="false">$H$3+$G$3*C34+$F$3*D34</f>
        <v>1.55779619142413</v>
      </c>
      <c r="C34" s="10" t="n">
        <f aca="false">C33+B33</f>
        <v>1060305.18265254</v>
      </c>
      <c r="D34" s="10" t="n">
        <f aca="false">C34*C34</f>
        <v>1124247080359.83</v>
      </c>
    </row>
    <row r="35" customFormat="false" ht="12.75" hidden="false" customHeight="false" outlineLevel="0" collapsed="false">
      <c r="B35" s="11"/>
    </row>
    <row r="36" customFormat="false" ht="12.75" hidden="false" customHeight="false" outlineLevel="0" collapsed="false">
      <c r="B36" s="11"/>
    </row>
    <row r="37" customFormat="false" ht="12.75" hidden="false" customHeight="false" outlineLevel="0" collapsed="false">
      <c r="B37" s="11"/>
    </row>
    <row r="38" customFormat="false" ht="12.75" hidden="false" customHeight="false" outlineLevel="0" collapsed="false">
      <c r="B38" s="11"/>
    </row>
    <row r="39" customFormat="false" ht="12.75" hidden="false" customHeight="false" outlineLevel="0" collapsed="false">
      <c r="B39" s="11"/>
    </row>
    <row r="40" customFormat="false" ht="12.75" hidden="false" customHeight="false" outlineLevel="0" collapsed="false">
      <c r="B40" s="11"/>
    </row>
    <row r="41" customFormat="false" ht="12.75" hidden="false" customHeight="false" outlineLevel="0" collapsed="false">
      <c r="B41" s="11"/>
    </row>
    <row r="42" customFormat="false" ht="12.75" hidden="false" customHeight="false" outlineLevel="0" collapsed="false">
      <c r="B42" s="11"/>
    </row>
    <row r="43" customFormat="false" ht="12.75" hidden="false" customHeight="false" outlineLevel="0" collapsed="false">
      <c r="B43" s="11"/>
    </row>
    <row r="44" customFormat="false" ht="12.75" hidden="false" customHeight="false" outlineLevel="0" collapsed="false">
      <c r="B44" s="11"/>
    </row>
    <row r="45" customFormat="false" ht="12.75" hidden="false" customHeight="false" outlineLevel="0" collapsed="false">
      <c r="B45" s="11"/>
    </row>
    <row r="46" customFormat="false" ht="12.75" hidden="false" customHeight="false" outlineLevel="0" collapsed="false">
      <c r="B46" s="11"/>
    </row>
    <row r="47" customFormat="false" ht="12.75" hidden="false" customHeight="false" outlineLevel="0" collapsed="false">
      <c r="B47" s="11"/>
    </row>
    <row r="48" customFormat="false" ht="12.75" hidden="false" customHeight="false" outlineLevel="0" collapsed="false">
      <c r="B48" s="11"/>
    </row>
    <row r="49" customFormat="false" ht="12.75" hidden="false" customHeight="false" outlineLevel="0" collapsed="false">
      <c r="B49" s="11"/>
    </row>
    <row r="50" customFormat="false" ht="12.75" hidden="false" customHeight="false" outlineLevel="0" collapsed="false">
      <c r="B50" s="1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34" activeCellId="0" sqref="A34"/>
    </sheetView>
  </sheetViews>
  <sheetFormatPr defaultColWidth="11.640625" defaultRowHeight="12.75" zeroHeight="false" outlineLevelRow="0" outlineLevelCol="0"/>
  <sheetData>
    <row r="1" customFormat="false" ht="38.25" hidden="false" customHeight="false" outlineLevel="0" collapsed="false">
      <c r="A1" s="1" t="s">
        <v>0</v>
      </c>
      <c r="B1" s="3" t="s">
        <v>16</v>
      </c>
      <c r="C1" s="3" t="s">
        <v>17</v>
      </c>
    </row>
    <row r="2" customFormat="false" ht="12.75" hidden="false" customHeight="false" outlineLevel="0" collapsed="false">
      <c r="A2" s="1" t="n">
        <v>1999</v>
      </c>
      <c r="B2" s="2" t="n">
        <v>5088</v>
      </c>
      <c r="C2" s="1" t="n">
        <v>5088</v>
      </c>
    </row>
    <row r="3" customFormat="false" ht="12.75" hidden="false" customHeight="false" outlineLevel="0" collapsed="false">
      <c r="A3" s="1" t="n">
        <v>2000</v>
      </c>
      <c r="B3" s="2" t="n">
        <v>10342</v>
      </c>
      <c r="C3" s="1" t="n">
        <v>10342</v>
      </c>
    </row>
    <row r="4" customFormat="false" ht="12.75" hidden="false" customHeight="false" outlineLevel="0" collapsed="false">
      <c r="A4" s="1" t="n">
        <v>2001</v>
      </c>
      <c r="B4" s="2" t="n">
        <v>14753</v>
      </c>
      <c r="C4" s="1" t="n">
        <v>14753</v>
      </c>
    </row>
    <row r="5" customFormat="false" ht="12.75" hidden="false" customHeight="false" outlineLevel="0" collapsed="false">
      <c r="A5" s="1" t="n">
        <v>2002</v>
      </c>
      <c r="B5" s="2" t="n">
        <v>24551</v>
      </c>
      <c r="C5" s="1" t="n">
        <v>24551</v>
      </c>
    </row>
    <row r="6" customFormat="false" ht="12.75" hidden="false" customHeight="false" outlineLevel="0" collapsed="false">
      <c r="A6" s="1" t="n">
        <v>2003</v>
      </c>
      <c r="B6" s="2" t="n">
        <v>43408</v>
      </c>
      <c r="C6" s="1" t="n">
        <v>43408</v>
      </c>
    </row>
    <row r="7" customFormat="false" ht="12.75" hidden="false" customHeight="false" outlineLevel="0" collapsed="false">
      <c r="A7" s="1" t="n">
        <v>2004</v>
      </c>
      <c r="B7" s="2" t="n">
        <v>59766</v>
      </c>
      <c r="C7" s="1" t="n">
        <v>59766</v>
      </c>
    </row>
    <row r="8" customFormat="false" ht="12.75" hidden="false" customHeight="false" outlineLevel="0" collapsed="false">
      <c r="A8" s="1" t="n">
        <v>2005</v>
      </c>
      <c r="B8" s="2" t="n">
        <v>64766</v>
      </c>
      <c r="C8" s="1" t="n">
        <v>64766</v>
      </c>
    </row>
    <row r="9" customFormat="false" ht="12.75" hidden="false" customHeight="false" outlineLevel="0" collapsed="false">
      <c r="A9" s="1" t="n">
        <v>2006</v>
      </c>
      <c r="B9" s="2" t="n">
        <v>78981</v>
      </c>
      <c r="C9" s="1" t="n">
        <v>78981</v>
      </c>
    </row>
    <row r="10" customFormat="false" ht="12.75" hidden="false" customHeight="false" outlineLevel="0" collapsed="false">
      <c r="A10" s="1" t="n">
        <v>2007</v>
      </c>
      <c r="B10" s="2" t="n">
        <v>100367</v>
      </c>
      <c r="C10" s="1" t="n">
        <v>100367</v>
      </c>
    </row>
    <row r="11" customFormat="false" ht="12.75" hidden="false" customHeight="false" outlineLevel="0" collapsed="false">
      <c r="A11" s="1" t="n">
        <v>2008</v>
      </c>
      <c r="B11" s="2" t="n">
        <v>119757</v>
      </c>
      <c r="C11" s="1" t="n">
        <v>119757</v>
      </c>
    </row>
    <row r="12" customFormat="false" ht="12.75" hidden="false" customHeight="false" outlineLevel="0" collapsed="false">
      <c r="A12" s="9" t="n">
        <v>2009</v>
      </c>
      <c r="B12" s="10" t="n">
        <v>122034.566130201</v>
      </c>
      <c r="C12" s="1" t="n">
        <v>105864</v>
      </c>
    </row>
    <row r="13" customFormat="false" ht="12.75" hidden="false" customHeight="false" outlineLevel="0" collapsed="false">
      <c r="A13" s="9" t="n">
        <v>2010</v>
      </c>
      <c r="B13" s="10" t="n">
        <v>115436.80581608</v>
      </c>
      <c r="C13" s="1" t="n">
        <v>121463</v>
      </c>
    </row>
    <row r="14" customFormat="false" ht="12.75" hidden="false" customHeight="false" outlineLevel="0" collapsed="false">
      <c r="A14" s="9" t="n">
        <v>2011</v>
      </c>
      <c r="B14" s="10" t="n">
        <v>97839.3375591893</v>
      </c>
      <c r="C14" s="1" t="n">
        <v>115524</v>
      </c>
    </row>
    <row r="15" customFormat="false" ht="12.75" hidden="false" customHeight="false" outlineLevel="0" collapsed="false">
      <c r="A15" s="9" t="n">
        <v>2012</v>
      </c>
      <c r="B15" s="10" t="n">
        <v>74279.9394537974</v>
      </c>
      <c r="C15" s="1" t="n">
        <v>98139</v>
      </c>
    </row>
    <row r="16" customFormat="false" ht="12.75" hidden="false" customHeight="false" outlineLevel="0" collapsed="false">
      <c r="A16" s="9" t="n">
        <v>2013</v>
      </c>
      <c r="B16" s="10" t="n">
        <v>51097.0964816312</v>
      </c>
      <c r="C16" s="1" t="n">
        <v>66284</v>
      </c>
    </row>
    <row r="17" customFormat="false" ht="12.75" hidden="false" customHeight="false" outlineLevel="0" collapsed="false">
      <c r="A17" s="9" t="n">
        <v>2014</v>
      </c>
      <c r="B17" s="10" t="n">
        <v>32495.6482856071</v>
      </c>
      <c r="C17" s="1" t="n">
        <v>43434</v>
      </c>
    </row>
    <row r="18" customFormat="false" ht="12.75" hidden="false" customHeight="false" outlineLevel="0" collapsed="false">
      <c r="A18" s="9" t="n">
        <v>2015</v>
      </c>
      <c r="B18" s="10" t="n">
        <v>19540.5647608028</v>
      </c>
      <c r="C18" s="1" t="n">
        <v>35395</v>
      </c>
    </row>
    <row r="19" customFormat="false" ht="12.75" hidden="false" customHeight="false" outlineLevel="0" collapsed="false">
      <c r="A19" s="9" t="n">
        <v>2016</v>
      </c>
      <c r="B19" s="10" t="n">
        <v>11329.0628254459</v>
      </c>
      <c r="C19" s="1" t="n">
        <v>2419</v>
      </c>
    </row>
    <row r="20" customFormat="false" ht="12.75" hidden="false" customHeight="false" outlineLevel="0" collapsed="false">
      <c r="A20" s="9" t="n">
        <v>2017</v>
      </c>
      <c r="B20" s="10" t="n">
        <v>6423.38705032348</v>
      </c>
    </row>
    <row r="21" customFormat="false" ht="12.75" hidden="false" customHeight="false" outlineLevel="0" collapsed="false">
      <c r="A21" s="9" t="n">
        <v>2018</v>
      </c>
      <c r="B21" s="10" t="n">
        <v>3594.71204158245</v>
      </c>
    </row>
    <row r="22" customFormat="false" ht="12.75" hidden="false" customHeight="false" outlineLevel="0" collapsed="false">
      <c r="A22" s="9" t="n">
        <f aca="false">A21+1</f>
        <v>2019</v>
      </c>
      <c r="B22" s="10" t="n">
        <v>1996.78535228531</v>
      </c>
    </row>
    <row r="23" customFormat="false" ht="12.75" hidden="false" customHeight="false" outlineLevel="0" collapsed="false">
      <c r="A23" s="9" t="n">
        <f aca="false">A22+1</f>
        <v>2020</v>
      </c>
      <c r="B23" s="10" t="n">
        <v>1104.54603168834</v>
      </c>
    </row>
    <row r="24" customFormat="false" ht="12.75" hidden="false" customHeight="false" outlineLevel="0" collapsed="false">
      <c r="A24" s="9" t="n">
        <f aca="false">A23+1</f>
        <v>2021</v>
      </c>
      <c r="B24" s="10" t="n">
        <v>609.573916577443</v>
      </c>
    </row>
    <row r="25" customFormat="false" ht="12.75" hidden="false" customHeight="false" outlineLevel="0" collapsed="false">
      <c r="A25" s="9" t="n">
        <f aca="false">A24+1</f>
        <v>2022</v>
      </c>
      <c r="B25" s="10" t="n">
        <v>335.977160727081</v>
      </c>
    </row>
    <row r="26" customFormat="false" ht="12.75" hidden="false" customHeight="false" outlineLevel="0" collapsed="false">
      <c r="A26" s="9" t="n">
        <f aca="false">A25+1</f>
        <v>2023</v>
      </c>
      <c r="B26" s="10" t="n">
        <v>185.04799009359</v>
      </c>
    </row>
    <row r="27" customFormat="false" ht="12.75" hidden="false" customHeight="false" outlineLevel="0" collapsed="false">
      <c r="A27" s="9" t="n">
        <f aca="false">A26+1</f>
        <v>2024</v>
      </c>
      <c r="B27" s="10" t="n">
        <v>101.8799581434</v>
      </c>
    </row>
    <row r="28" customFormat="false" ht="12.75" hidden="false" customHeight="false" outlineLevel="0" collapsed="false">
      <c r="A28" s="9" t="n">
        <f aca="false">A27+1</f>
        <v>2025</v>
      </c>
      <c r="B28" s="10" t="n">
        <v>56.0788848277298</v>
      </c>
    </row>
    <row r="29" customFormat="false" ht="12.75" hidden="false" customHeight="false" outlineLevel="0" collapsed="false">
      <c r="A29" s="9" t="n">
        <f aca="false">A28+1</f>
        <v>2026</v>
      </c>
      <c r="B29" s="10" t="n">
        <v>30.8644360806793</v>
      </c>
    </row>
    <row r="30" customFormat="false" ht="12.75" hidden="false" customHeight="false" outlineLevel="0" collapsed="false">
      <c r="A30" s="9" t="n">
        <f aca="false">A29+1</f>
        <v>2027</v>
      </c>
      <c r="B30" s="10" t="n">
        <v>16.9859132483252</v>
      </c>
    </row>
    <row r="31" customFormat="false" ht="12.75" hidden="false" customHeight="false" outlineLevel="0" collapsed="false">
      <c r="A31" s="9" t="n">
        <f aca="false">A30+1</f>
        <v>2028</v>
      </c>
      <c r="B31" s="10" t="n">
        <v>9.34767949994421</v>
      </c>
    </row>
    <row r="32" customFormat="false" ht="12.75" hidden="false" customHeight="false" outlineLevel="0" collapsed="false">
      <c r="A32" s="9" t="n">
        <f aca="false">A31+1</f>
        <v>2029</v>
      </c>
      <c r="B32" s="10" t="n">
        <v>5.1441084498656</v>
      </c>
    </row>
    <row r="33" customFormat="false" ht="12.75" hidden="false" customHeight="false" outlineLevel="0" collapsed="false">
      <c r="A33" s="9" t="n">
        <f aca="false">A32+1</f>
        <v>2030</v>
      </c>
      <c r="B33" s="10" t="n">
        <v>2.83081625367049</v>
      </c>
    </row>
    <row r="34" customFormat="false" ht="12.75" hidden="false" customHeight="false" outlineLevel="0" collapsed="false">
      <c r="A34" s="9" t="n">
        <f aca="false">A33+1</f>
        <v>2031</v>
      </c>
      <c r="B34" s="10" t="n">
        <v>1.55779619154055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2020-11-23T16:01:35Z</dcterms:created>
  <dc:creator/>
  <dc:description/>
  <dc:language>fr-FR</dc:language>
  <cp:lastModifiedBy>Thierry Leiber</cp:lastModifiedBy>
  <dcterms:modified xsi:type="dcterms:W3CDTF">2023-09-29T10:09:55Z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